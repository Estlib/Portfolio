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1075" windowHeight="8265"/>
  </bookViews>
  <sheets>
    <sheet name="kujundusenäidis valemitega" sheetId="1" r:id="rId1"/>
    <sheet name="proovi makrot siin" sheetId="2" r:id="rId2"/>
    <sheet name="final product" sheetId="3" r:id="rId3"/>
    <sheet name="v2" sheetId="4" r:id="rId4"/>
  </sheets>
  <definedNames>
    <definedName name="_xlnm.Print_Area" localSheetId="3">'v2'!#REF!</definedName>
  </definedNames>
  <calcPr calcId="145621"/>
</workbook>
</file>

<file path=xl/calcChain.xml><?xml version="1.0" encoding="utf-8"?>
<calcChain xmlns="http://schemas.openxmlformats.org/spreadsheetml/2006/main">
  <c r="I7" i="4" l="1"/>
  <c r="H7" i="4"/>
  <c r="D4" i="4"/>
  <c r="D2" i="3" l="1"/>
  <c r="E4" i="3"/>
  <c r="F4" i="3" s="1"/>
</calcChain>
</file>

<file path=xl/sharedStrings.xml><?xml version="1.0" encoding="utf-8"?>
<sst xmlns="http://schemas.openxmlformats.org/spreadsheetml/2006/main" count="157" uniqueCount="118">
  <si>
    <t>legend</t>
  </si>
  <si>
    <t>vaba aeg</t>
  </si>
  <si>
    <t>söökjook</t>
  </si>
  <si>
    <t>olme</t>
  </si>
  <si>
    <t>energia</t>
  </si>
  <si>
    <t>planeerimata</t>
  </si>
  <si>
    <t>tulevik</t>
  </si>
  <si>
    <t>vahe</t>
  </si>
  <si>
    <t>sääst</t>
  </si>
  <si>
    <t>ülekulu</t>
  </si>
  <si>
    <t>sorteerimine</t>
  </si>
  <si>
    <t>sorteerimine on nupud mis sorteerivad tulpi</t>
  </si>
  <si>
    <t>planeeritud</t>
  </si>
  <si>
    <t>tegelik</t>
  </si>
  <si>
    <t>lisa uus rida</t>
  </si>
  <si>
    <t>lisa uus rida lisab uue kujundatud ja valemilise rea tabelisse</t>
  </si>
  <si>
    <t>parameetritena arvestab headeris olevat rowcounti, mis ütleb</t>
  </si>
  <si>
    <t>kuhu uus rida tuleb</t>
  </si>
  <si>
    <t>EELARVETABEL</t>
  </si>
  <si>
    <t>Eelarve</t>
  </si>
  <si>
    <t>Pärast Kulutusi</t>
  </si>
  <si>
    <t>Tabeli ridu</t>
  </si>
  <si>
    <t>Kulutus</t>
  </si>
  <si>
    <t>Kulutuse Liik</t>
  </si>
  <si>
    <t>Etteplaneeritud summa</t>
  </si>
  <si>
    <t>Tegelik kulutus</t>
  </si>
  <si>
    <t>Vahe</t>
  </si>
  <si>
    <t>Tagajärg</t>
  </si>
  <si>
    <t>Sorteerimine</t>
  </si>
  <si>
    <t>Tööriistad</t>
  </si>
  <si>
    <t>&gt; Lehekursor &lt;</t>
  </si>
  <si>
    <t>Tabeli nuppude kasutamiseks tee aktiivseks nuppude all olev asukoht, kus on kirjas "lehekursor". Pärast käsitsi andmete sisestamist ära unusta teha see ruut aktiivseks.</t>
  </si>
  <si>
    <t>Tabelstart käivitab terve tabeli ehitava makro</t>
  </si>
  <si>
    <t>tehing</t>
  </si>
  <si>
    <t>tehingu tüüp</t>
  </si>
  <si>
    <t>tehingu kategooria</t>
  </si>
  <si>
    <t>arve</t>
  </si>
  <si>
    <t>tulem</t>
  </si>
  <si>
    <t>Kuupäev</t>
  </si>
  <si>
    <t>JKN</t>
  </si>
  <si>
    <t>tehingu kategooriaid on 7</t>
  </si>
  <si>
    <t>tulemil on võimalik kolm valikut</t>
  </si>
  <si>
    <t>täpne kulu</t>
  </si>
  <si>
    <t>käestkätte</t>
  </si>
  <si>
    <t>&lt;kuu&gt; &lt;aasta&gt; Kulu-Tulu tabel</t>
  </si>
  <si>
    <t>selle kuu eelarve</t>
  </si>
  <si>
    <t>kustuta rida</t>
  </si>
  <si>
    <t>selle kuu lõppsaldo</t>
  </si>
  <si>
    <t>eelmise kuu lõppsaldo</t>
  </si>
  <si>
    <t>konsool</t>
  </si>
  <si>
    <t>SNR</t>
  </si>
  <si>
    <t>&lt;- SNR</t>
  </si>
  <si>
    <t>kasutajale väljastatakse sõnumeid siia</t>
  </si>
  <si>
    <t>Max 3 sõnumit. Madalaim on uusim</t>
  </si>
  <si>
    <t>todo:</t>
  </si>
  <si>
    <t>lisada makrosse oranzid tulbad</t>
  </si>
  <si>
    <t>muuta lilla tulp niimoodi, et real olevasse kasti tekib dropdown box kategooriatega.</t>
  </si>
  <si>
    <t>RESET</t>
  </si>
  <si>
    <t>JKN tulp peab autogenereerima järjekorranumbreid</t>
  </si>
  <si>
    <t>kuupäeva tulp peab automaatselt sisestama kuupäeva kuna rida tehti</t>
  </si>
  <si>
    <t>kustuta rida kustutab kõige viimasena sisestatud rea</t>
  </si>
  <si>
    <t>tehingu tüübil on kaks  valikut</t>
  </si>
  <si>
    <t>sissetulek</t>
  </si>
  <si>
    <t>väljaminek</t>
  </si>
  <si>
    <t>tehingu tüüp peab andma kasutajale dropdown kasti koos valikutega.</t>
  </si>
  <si>
    <t>kustuta rida peab funktsiooni katkestama kui alles on ainult üks rida, ning andma veateate konsooli.</t>
  </si>
  <si>
    <t>kõik nupud peavad edastama oma tegevuse konsooli</t>
  </si>
  <si>
    <t>STOPLINE "EELARVETABEL"</t>
  </si>
  <si>
    <t>lehekursori asukohaks saab olema EELARVETABEL ning kursorinavigatsioon saab olema täielikult automatiseeritud</t>
  </si>
  <si>
    <t>TÖÖRIISTAD</t>
  </si>
  <si>
    <t>RESET sorteerib JKN alusel esimesel vajutusel, ning kuupäeva järgi teisel vajutusel</t>
  </si>
  <si>
    <t>andmed</t>
  </si>
  <si>
    <t>lukusta rida</t>
  </si>
  <si>
    <t>vabasta rida</t>
  </si>
  <si>
    <t>lukustusfunktsioon kustuta rida nupule, mis ignoreerib lukustatud ridu</t>
  </si>
  <si>
    <t>vabasta rida funktsioon vabastab rea (tulevikus: kui sisestatud parool on õige)</t>
  </si>
  <si>
    <t>dokumendid</t>
  </si>
  <si>
    <t>PDF</t>
  </si>
  <si>
    <t>CSV</t>
  </si>
  <si>
    <t>PDF nupp genereerib PDF faili antud kuu kohta</t>
  </si>
  <si>
    <t>CSV nupp genereerib CSV faili antud kuu kohta</t>
  </si>
  <si>
    <t>viimane rida</t>
  </si>
  <si>
    <t>taanda read</t>
  </si>
  <si>
    <t>taanda read sorteerib read kokku nii et tühje ridu vahepeal ei ole</t>
  </si>
  <si>
    <t>0/1/D lock</t>
  </si>
  <si>
    <t>ridade arv</t>
  </si>
  <si>
    <t>L</t>
  </si>
  <si>
    <t>September 2022 kulu-tulu eelarvetabel</t>
  </si>
  <si>
    <t>Eelmise kuu lõppsaldo</t>
  </si>
  <si>
    <t>Selle kuu eelarve</t>
  </si>
  <si>
    <t>Selle kuu lõppsaldo</t>
  </si>
  <si>
    <t>Tehing</t>
  </si>
  <si>
    <t>Tehingu tüüp</t>
  </si>
  <si>
    <t>Kategooria</t>
  </si>
  <si>
    <t>Planeeritud summa</t>
  </si>
  <si>
    <t>Tegelik summa</t>
  </si>
  <si>
    <t>Tulem</t>
  </si>
  <si>
    <t>riik</t>
  </si>
  <si>
    <t>&gt; EELARVETABEL &lt;</t>
  </si>
  <si>
    <t>0 not locked</t>
  </si>
  <si>
    <t>1 locked</t>
  </si>
  <si>
    <t>D deleted</t>
  </si>
  <si>
    <t>L last line, cant delete or lock</t>
  </si>
  <si>
    <t xml:space="preserve">                                                                                  </t>
  </si>
  <si>
    <t>muu</t>
  </si>
  <si>
    <t>sobita tulbad uuesti</t>
  </si>
  <si>
    <t>Vali tüüp</t>
  </si>
  <si>
    <t>a</t>
  </si>
  <si>
    <t xml:space="preserve">                                        </t>
  </si>
  <si>
    <t>&gt; Tööriistad &lt;</t>
  </si>
  <si>
    <t>Andmed</t>
  </si>
  <si>
    <t>Kahanev</t>
  </si>
  <si>
    <t xml:space="preserve"> </t>
  </si>
  <si>
    <t>Dokumendid</t>
  </si>
  <si>
    <t>Muud tööriistad</t>
  </si>
  <si>
    <t>Vali kategooria</t>
  </si>
  <si>
    <t>probleemid</t>
  </si>
  <si>
    <t>võib tekkida olukordi kus lukustamine ja vabastamine tekitab vorminguerroreid headeris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</si>
</sst>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.00\€"/>
  </numFmts>
  <fonts count="12" x14ac:knownFonts="1">
    <font>
      <sz val="11"/>
      <color theme="1"/>
      <name val="Calibri"/>
      <family val="2"/>
      <charset val="1"/>
      <scheme val="minor"/>
    </font>
    <font>
      <sz val="11"/>
      <color indexed="9"/>
      <name val="Calibri"/>
      <family val="2"/>
      <charset val="1"/>
      <scheme val="minor"/>
    </font>
    <font>
      <sz val="11"/>
      <color indexed="39"/>
      <name val="Calibri"/>
      <family val="2"/>
      <charset val="1"/>
      <scheme val="minor"/>
    </font>
    <font>
      <b/>
      <sz val="11"/>
      <color indexed="9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b/>
      <sz val="11"/>
      <color rgb="FFFFFF00"/>
      <name val="Calibri"/>
      <family val="2"/>
      <charset val="1"/>
      <scheme val="minor"/>
    </font>
    <font>
      <b/>
      <sz val="11"/>
      <color indexed="13"/>
      <name val="Calibri"/>
      <family val="2"/>
      <scheme val="minor"/>
    </font>
    <font>
      <sz val="11"/>
      <color indexed="23"/>
      <name val="Calibri"/>
      <family val="2"/>
      <charset val="1"/>
      <scheme val="minor"/>
    </font>
    <font>
      <sz val="11"/>
      <color indexed="21"/>
      <name val="Calibri"/>
      <family val="2"/>
      <charset val="1"/>
      <scheme val="minor"/>
    </font>
    <font>
      <sz val="11"/>
      <color indexed="9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0" fillId="4" borderId="0" xfId="0" applyFill="1"/>
    <xf numFmtId="0" fontId="2" fillId="3" borderId="0" xfId="0" applyFont="1" applyFill="1"/>
    <xf numFmtId="164" fontId="2" fillId="3" borderId="0" xfId="0" applyNumberFormat="1" applyFont="1" applyFill="1"/>
    <xf numFmtId="0" fontId="1" fillId="0" borderId="0" xfId="0" applyFont="1"/>
    <xf numFmtId="0" fontId="3" fillId="2" borderId="0" xfId="0" applyFont="1" applyFill="1"/>
    <xf numFmtId="0" fontId="4" fillId="5" borderId="0" xfId="0" applyFont="1" applyFill="1" applyAlignment="1">
      <alignment horizontal="right"/>
    </xf>
    <xf numFmtId="0" fontId="0" fillId="6" borderId="0" xfId="0" applyFill="1"/>
    <xf numFmtId="0" fontId="0" fillId="7" borderId="0" xfId="0" applyFill="1"/>
    <xf numFmtId="164" fontId="1" fillId="9" borderId="0" xfId="0" applyNumberFormat="1" applyFont="1" applyFill="1"/>
    <xf numFmtId="0" fontId="7" fillId="3" borderId="0" xfId="0" applyFont="1" applyFill="1"/>
    <xf numFmtId="14" fontId="7" fillId="3" borderId="0" xfId="0" applyNumberFormat="1" applyFont="1" applyFill="1"/>
    <xf numFmtId="0" fontId="0" fillId="11" borderId="0" xfId="0" applyFill="1"/>
    <xf numFmtId="0" fontId="8" fillId="8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1" fillId="8" borderId="0" xfId="0" applyFont="1" applyFill="1"/>
    <xf numFmtId="0" fontId="6" fillId="10" borderId="0" xfId="0" applyFont="1" applyFill="1"/>
    <xf numFmtId="0" fontId="9" fillId="10" borderId="0" xfId="0" applyFont="1" applyFill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wrapText="1"/>
    </xf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0" fillId="0" borderId="0" xfId="0"/>
    <xf numFmtId="0" fontId="1" fillId="10" borderId="0" xfId="0" applyFont="1" applyFill="1"/>
    <xf numFmtId="0" fontId="6" fillId="10" borderId="0" xfId="0" applyFont="1" applyFill="1"/>
  </cellXfs>
  <cellStyles count="1">
    <cellStyle name="Normal" xfId="0" builtinId="0"/>
  </cellStyles>
  <dxfs count="10"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Kulutus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Kulutuse liik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Planeeritud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Tegelik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Tagajärg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Uus 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Kustuta rida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967" name="Button 823" hidden="1">
              <a:extLst>
                <a:ext uri="{63B3BB69-23CF-44E3-9099-C40C66FF867C}">
                  <a14:compatExt spid="_x0000_s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968" name="Button 824" hidden="1">
              <a:extLst>
                <a:ext uri="{63B3BB69-23CF-44E3-9099-C40C66FF867C}">
                  <a14:compatExt spid="_x0000_s6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Tehingu Tüüp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6969" name="Button 825" hidden="1">
              <a:extLst>
                <a:ext uri="{63B3BB69-23CF-44E3-9099-C40C66FF867C}">
                  <a14:compatExt spid="_x0000_s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Tehingu Kategooria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970" name="Button 826" hidden="1">
              <a:extLst>
                <a:ext uri="{63B3BB69-23CF-44E3-9099-C40C66FF867C}">
                  <a14:compatExt spid="_x0000_s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Planeeritud Summa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6971" name="Button 827" hidden="1">
              <a:extLst>
                <a:ext uri="{63B3BB69-23CF-44E3-9099-C40C66FF867C}">
                  <a14:compatExt spid="_x0000_s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Tegelik Summa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6972" name="Button 828" hidden="1">
              <a:extLst>
                <a:ext uri="{63B3BB69-23CF-44E3-9099-C40C66FF867C}">
                  <a14:compatExt spid="_x0000_s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973" name="Button 829" hidden="1">
              <a:extLst>
                <a:ext uri="{63B3BB69-23CF-44E3-9099-C40C66FF867C}">
                  <a14:compatExt spid="_x0000_s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6974" name="Button 830" hidden="1">
              <a:extLst>
                <a:ext uri="{63B3BB69-23CF-44E3-9099-C40C66FF867C}">
                  <a14:compatExt spid="_x0000_s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6975" name="Button 831" hidden="1">
              <a:extLst>
                <a:ext uri="{63B3BB69-23CF-44E3-9099-C40C66FF867C}">
                  <a14:compatExt spid="_x0000_s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Uus 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6976" name="Button 832" hidden="1">
              <a:extLst>
                <a:ext uri="{63B3BB69-23CF-44E3-9099-C40C66FF867C}">
                  <a14:compatExt spid="_x0000_s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Kustuta 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6977" name="Button 833" hidden="1">
              <a:extLst>
                <a:ext uri="{63B3BB69-23CF-44E3-9099-C40C66FF867C}">
                  <a14:compatExt spid="_x0000_s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Lukusta 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978" name="Button 834" hidden="1">
              <a:extLst>
                <a:ext uri="{63B3BB69-23CF-44E3-9099-C40C66FF867C}">
                  <a14:compatExt spid="_x0000_s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 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6979" name="Button 835" hidden="1">
              <a:extLst>
                <a:ext uri="{63B3BB69-23CF-44E3-9099-C40C66FF867C}">
                  <a14:compatExt spid="_x0000_s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Taanda Read Kokku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980" name="Button 836" hidden="1">
              <a:extLst>
                <a:ext uri="{63B3BB69-23CF-44E3-9099-C40C66FF867C}">
                  <a14:compatExt spid="_x0000_s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Genereeri PDF fail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6981" name="Button 837" hidden="1">
              <a:extLst>
                <a:ext uri="{63B3BB69-23CF-44E3-9099-C40C66FF867C}">
                  <a14:compatExt spid="_x0000_s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Genereeri CSV fail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6982" name="Button 838" hidden="1">
              <a:extLst>
                <a:ext uri="{63B3BB69-23CF-44E3-9099-C40C66FF867C}">
                  <a14:compatExt spid="_x0000_s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Sobita tulbad uuesti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9"/>
  <sheetViews>
    <sheetView tabSelected="1" topLeftCell="A7" workbookViewId="0">
      <selection activeCell="B35" sqref="B35"/>
    </sheetView>
  </sheetViews>
  <sheetFormatPr defaultRowHeight="15" x14ac:dyDescent="0.25"/>
  <cols>
    <col min="1" max="1" width="5.28515625" customWidth="1"/>
    <col min="4" max="4" width="13.85546875" customWidth="1"/>
    <col min="5" max="5" width="18.85546875" customWidth="1"/>
    <col min="6" max="6" width="13.5703125" customWidth="1"/>
    <col min="7" max="7" width="9" customWidth="1"/>
  </cols>
  <sheetData>
    <row r="1" spans="1:18" x14ac:dyDescent="0.25">
      <c r="A1" s="25" t="s">
        <v>44</v>
      </c>
      <c r="B1" s="25"/>
      <c r="C1" s="25"/>
      <c r="D1" s="25"/>
      <c r="E1" s="25"/>
      <c r="F1" s="25"/>
      <c r="G1" s="25"/>
      <c r="H1" s="25"/>
      <c r="I1" s="25"/>
      <c r="J1" s="1" t="s">
        <v>85</v>
      </c>
      <c r="L1" t="s">
        <v>69</v>
      </c>
      <c r="Q1" t="s">
        <v>0</v>
      </c>
    </row>
    <row r="2" spans="1:18" x14ac:dyDescent="0.25">
      <c r="A2" s="25" t="s">
        <v>48</v>
      </c>
      <c r="B2" s="25"/>
      <c r="C2" s="25"/>
      <c r="E2" s="26" t="s">
        <v>49</v>
      </c>
      <c r="F2" s="26"/>
      <c r="G2" s="26"/>
      <c r="H2" s="26"/>
      <c r="I2" s="8" t="s">
        <v>50</v>
      </c>
      <c r="J2" t="s">
        <v>81</v>
      </c>
      <c r="L2" s="3" t="s">
        <v>10</v>
      </c>
      <c r="Q2" t="s">
        <v>40</v>
      </c>
    </row>
    <row r="3" spans="1:18" x14ac:dyDescent="0.25">
      <c r="A3" s="25" t="s">
        <v>45</v>
      </c>
      <c r="B3" s="25"/>
      <c r="C3" s="25"/>
      <c r="E3" s="26" t="s">
        <v>52</v>
      </c>
      <c r="F3" s="26"/>
      <c r="G3" s="26"/>
      <c r="H3" s="26"/>
      <c r="I3" s="8" t="s">
        <v>50</v>
      </c>
      <c r="L3" t="s">
        <v>33</v>
      </c>
      <c r="Q3">
        <v>1</v>
      </c>
      <c r="R3" t="s">
        <v>1</v>
      </c>
    </row>
    <row r="4" spans="1:18" x14ac:dyDescent="0.25">
      <c r="A4" s="25" t="s">
        <v>47</v>
      </c>
      <c r="B4" s="25"/>
      <c r="C4" s="25"/>
      <c r="E4" s="27" t="s">
        <v>53</v>
      </c>
      <c r="F4" s="27"/>
      <c r="G4" s="27"/>
      <c r="H4" s="27"/>
      <c r="I4" s="8" t="s">
        <v>51</v>
      </c>
      <c r="L4" t="s">
        <v>34</v>
      </c>
      <c r="Q4">
        <v>2</v>
      </c>
      <c r="R4" t="s">
        <v>2</v>
      </c>
    </row>
    <row r="5" spans="1:18" x14ac:dyDescent="0.25">
      <c r="A5" s="25" t="s">
        <v>67</v>
      </c>
      <c r="B5" s="25"/>
      <c r="C5" s="25"/>
      <c r="D5" s="25"/>
      <c r="E5" s="25"/>
      <c r="F5" s="25"/>
      <c r="G5" s="25"/>
      <c r="H5" s="25"/>
      <c r="I5" s="25"/>
      <c r="L5" t="s">
        <v>35</v>
      </c>
      <c r="Q5">
        <v>3</v>
      </c>
      <c r="R5" t="s">
        <v>3</v>
      </c>
    </row>
    <row r="6" spans="1:18" x14ac:dyDescent="0.25">
      <c r="A6" s="9" t="s">
        <v>39</v>
      </c>
      <c r="B6" s="9" t="s">
        <v>38</v>
      </c>
      <c r="C6" t="s">
        <v>33</v>
      </c>
      <c r="D6" s="9" t="s">
        <v>34</v>
      </c>
      <c r="E6" s="10" t="s">
        <v>35</v>
      </c>
      <c r="F6" t="s">
        <v>12</v>
      </c>
      <c r="G6" t="s">
        <v>13</v>
      </c>
      <c r="H6" t="s">
        <v>7</v>
      </c>
      <c r="I6" t="s">
        <v>37</v>
      </c>
      <c r="L6" t="s">
        <v>12</v>
      </c>
      <c r="Q6">
        <v>4</v>
      </c>
      <c r="R6" t="s">
        <v>4</v>
      </c>
    </row>
    <row r="7" spans="1:18" x14ac:dyDescent="0.25">
      <c r="A7" s="9"/>
      <c r="B7" s="9"/>
      <c r="D7" s="9"/>
      <c r="E7" s="10"/>
      <c r="J7" t="s">
        <v>86</v>
      </c>
      <c r="L7" t="s">
        <v>13</v>
      </c>
      <c r="Q7">
        <v>5</v>
      </c>
      <c r="R7" t="s">
        <v>5</v>
      </c>
    </row>
    <row r="8" spans="1:18" x14ac:dyDescent="0.25">
      <c r="A8" s="9"/>
      <c r="B8" s="9"/>
      <c r="D8" s="9"/>
      <c r="E8" s="10"/>
      <c r="J8" t="s">
        <v>84</v>
      </c>
      <c r="L8" t="s">
        <v>7</v>
      </c>
      <c r="Q8">
        <v>6</v>
      </c>
      <c r="R8" t="s">
        <v>6</v>
      </c>
    </row>
    <row r="9" spans="1:18" x14ac:dyDescent="0.25">
      <c r="A9" s="9"/>
      <c r="B9" s="9"/>
      <c r="D9" s="9"/>
      <c r="E9" s="10"/>
      <c r="J9" t="s">
        <v>84</v>
      </c>
      <c r="L9" t="s">
        <v>37</v>
      </c>
      <c r="Q9">
        <v>7</v>
      </c>
      <c r="R9" t="s">
        <v>36</v>
      </c>
    </row>
    <row r="10" spans="1:18" x14ac:dyDescent="0.25">
      <c r="A10" s="9"/>
      <c r="B10" s="9"/>
      <c r="D10" s="9"/>
      <c r="E10" s="10"/>
      <c r="J10" t="s">
        <v>84</v>
      </c>
      <c r="L10" t="s">
        <v>57</v>
      </c>
      <c r="Q10">
        <v>8</v>
      </c>
      <c r="R10" t="s">
        <v>43</v>
      </c>
    </row>
    <row r="11" spans="1:18" x14ac:dyDescent="0.25">
      <c r="A11" s="9"/>
      <c r="B11" s="9"/>
      <c r="D11" s="9"/>
      <c r="E11" s="10"/>
      <c r="J11" t="s">
        <v>84</v>
      </c>
      <c r="L11" s="3" t="s">
        <v>71</v>
      </c>
      <c r="Q11">
        <v>9</v>
      </c>
      <c r="R11" t="s">
        <v>97</v>
      </c>
    </row>
    <row r="12" spans="1:18" x14ac:dyDescent="0.25">
      <c r="A12" s="9"/>
      <c r="B12" s="9"/>
      <c r="D12" s="9"/>
      <c r="E12" s="10"/>
      <c r="J12" t="s">
        <v>84</v>
      </c>
      <c r="L12" t="s">
        <v>14</v>
      </c>
    </row>
    <row r="13" spans="1:18" x14ac:dyDescent="0.25">
      <c r="A13" s="9"/>
      <c r="B13" s="9"/>
      <c r="D13" s="9"/>
      <c r="E13" s="10"/>
      <c r="J13" t="s">
        <v>84</v>
      </c>
      <c r="L13" t="s">
        <v>46</v>
      </c>
      <c r="Q13" t="s">
        <v>41</v>
      </c>
    </row>
    <row r="14" spans="1:18" x14ac:dyDescent="0.25">
      <c r="A14" s="9"/>
      <c r="B14" s="9"/>
      <c r="D14" s="9"/>
      <c r="E14" s="10"/>
      <c r="J14" t="s">
        <v>84</v>
      </c>
      <c r="L14" t="s">
        <v>72</v>
      </c>
      <c r="R14" t="s">
        <v>8</v>
      </c>
    </row>
    <row r="15" spans="1:18" x14ac:dyDescent="0.25">
      <c r="A15" s="9"/>
      <c r="B15" s="9"/>
      <c r="D15" s="9"/>
      <c r="E15" s="10"/>
      <c r="J15" t="s">
        <v>84</v>
      </c>
      <c r="L15" t="s">
        <v>73</v>
      </c>
      <c r="R15" t="s">
        <v>42</v>
      </c>
    </row>
    <row r="16" spans="1:18" x14ac:dyDescent="0.25">
      <c r="A16" s="9"/>
      <c r="B16" s="9"/>
      <c r="D16" s="9"/>
      <c r="E16" s="10"/>
      <c r="J16" t="s">
        <v>84</v>
      </c>
      <c r="L16" t="s">
        <v>82</v>
      </c>
      <c r="R16" t="s">
        <v>9</v>
      </c>
    </row>
    <row r="17" spans="1:18" x14ac:dyDescent="0.25">
      <c r="A17" s="9"/>
      <c r="B17" s="9"/>
      <c r="D17" s="9"/>
      <c r="E17" s="10"/>
      <c r="J17" t="s">
        <v>84</v>
      </c>
      <c r="L17" s="3" t="s">
        <v>76</v>
      </c>
    </row>
    <row r="18" spans="1:18" x14ac:dyDescent="0.25">
      <c r="A18" s="9"/>
      <c r="B18" s="9"/>
      <c r="D18" s="9"/>
      <c r="E18" s="10"/>
      <c r="J18" t="s">
        <v>84</v>
      </c>
      <c r="L18" t="s">
        <v>77</v>
      </c>
      <c r="Q18" t="s">
        <v>61</v>
      </c>
    </row>
    <row r="19" spans="1:18" x14ac:dyDescent="0.25">
      <c r="A19" s="9"/>
      <c r="B19" s="9"/>
      <c r="D19" s="9"/>
      <c r="E19" s="10"/>
      <c r="J19" t="s">
        <v>84</v>
      </c>
      <c r="L19" t="s">
        <v>78</v>
      </c>
      <c r="R19" t="s">
        <v>62</v>
      </c>
    </row>
    <row r="20" spans="1:18" ht="15.75" thickBot="1" x14ac:dyDescent="0.3">
      <c r="A20" s="9"/>
      <c r="B20" s="9"/>
      <c r="D20" s="9"/>
      <c r="E20" s="10"/>
      <c r="J20" t="s">
        <v>84</v>
      </c>
      <c r="L20" s="3" t="s">
        <v>104</v>
      </c>
      <c r="R20" t="s">
        <v>63</v>
      </c>
    </row>
    <row r="21" spans="1:18" ht="15.75" thickBot="1" x14ac:dyDescent="0.3">
      <c r="A21" s="22" t="s">
        <v>32</v>
      </c>
      <c r="B21" s="23"/>
      <c r="C21" s="23"/>
      <c r="D21" s="23"/>
      <c r="E21" s="23"/>
      <c r="F21" s="23"/>
      <c r="G21" s="23"/>
      <c r="H21" s="23"/>
      <c r="I21" s="24"/>
      <c r="L21" t="s">
        <v>105</v>
      </c>
    </row>
    <row r="22" spans="1:18" x14ac:dyDescent="0.25">
      <c r="B22" t="s">
        <v>54</v>
      </c>
      <c r="J22" t="s">
        <v>99</v>
      </c>
      <c r="Q22" t="s">
        <v>11</v>
      </c>
    </row>
    <row r="23" spans="1:18" x14ac:dyDescent="0.25">
      <c r="B23" s="14" t="s">
        <v>55</v>
      </c>
      <c r="J23" t="s">
        <v>100</v>
      </c>
    </row>
    <row r="24" spans="1:18" x14ac:dyDescent="0.25">
      <c r="B24" s="14" t="s">
        <v>56</v>
      </c>
      <c r="J24" t="s">
        <v>101</v>
      </c>
      <c r="Q24" t="s">
        <v>15</v>
      </c>
    </row>
    <row r="25" spans="1:18" x14ac:dyDescent="0.25">
      <c r="B25" s="14" t="s">
        <v>58</v>
      </c>
      <c r="J25" t="s">
        <v>102</v>
      </c>
      <c r="Q25" t="s">
        <v>16</v>
      </c>
    </row>
    <row r="26" spans="1:18" x14ac:dyDescent="0.25">
      <c r="B26" s="14" t="s">
        <v>59</v>
      </c>
      <c r="Q26" t="s">
        <v>17</v>
      </c>
    </row>
    <row r="27" spans="1:18" x14ac:dyDescent="0.25">
      <c r="B27" s="14" t="s">
        <v>64</v>
      </c>
      <c r="Q27" t="s">
        <v>60</v>
      </c>
    </row>
    <row r="28" spans="1:18" x14ac:dyDescent="0.25">
      <c r="B28" s="14" t="s">
        <v>65</v>
      </c>
    </row>
    <row r="29" spans="1:18" x14ac:dyDescent="0.25">
      <c r="B29" s="14" t="s">
        <v>66</v>
      </c>
    </row>
    <row r="30" spans="1:18" x14ac:dyDescent="0.25">
      <c r="B30" s="14" t="s">
        <v>68</v>
      </c>
    </row>
    <row r="31" spans="1:18" x14ac:dyDescent="0.25">
      <c r="B31" s="16" t="s">
        <v>70</v>
      </c>
    </row>
    <row r="32" spans="1:18" x14ac:dyDescent="0.25">
      <c r="B32" s="14" t="s">
        <v>74</v>
      </c>
    </row>
    <row r="33" spans="2:2" x14ac:dyDescent="0.25">
      <c r="B33" s="16" t="s">
        <v>75</v>
      </c>
    </row>
    <row r="34" spans="2:2" x14ac:dyDescent="0.25">
      <c r="B34" s="14" t="s">
        <v>79</v>
      </c>
    </row>
    <row r="35" spans="2:2" x14ac:dyDescent="0.25">
      <c r="B35" s="17" t="s">
        <v>80</v>
      </c>
    </row>
    <row r="36" spans="2:2" x14ac:dyDescent="0.25">
      <c r="B36" s="17" t="s">
        <v>83</v>
      </c>
    </row>
    <row r="38" spans="2:2" x14ac:dyDescent="0.25">
      <c r="B38" s="18" t="s">
        <v>116</v>
      </c>
    </row>
    <row r="39" spans="2:2" x14ac:dyDescent="0.25">
      <c r="B39" s="18" t="s">
        <v>117</v>
      </c>
    </row>
  </sheetData>
  <mergeCells count="9">
    <mergeCell ref="A21:I21"/>
    <mergeCell ref="A5:I5"/>
    <mergeCell ref="A1:I1"/>
    <mergeCell ref="A2:C2"/>
    <mergeCell ref="A3:C3"/>
    <mergeCell ref="A4:C4"/>
    <mergeCell ref="E2:H2"/>
    <mergeCell ref="E3:H3"/>
    <mergeCell ref="E4:H4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1" sqref="B41"/>
    </sheetView>
  </sheetViews>
  <sheetFormatPr defaultRowHeight="15" x14ac:dyDescent="0.25"/>
  <sheetData>
    <row r="1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H11" sqref="H11"/>
    </sheetView>
  </sheetViews>
  <sheetFormatPr defaultRowHeight="15" x14ac:dyDescent="0.25"/>
  <cols>
    <col min="1" max="1" width="7.7109375" bestFit="1" customWidth="1"/>
    <col min="2" max="2" width="12.28515625" bestFit="1" customWidth="1"/>
    <col min="3" max="3" width="22.28515625" bestFit="1" customWidth="1"/>
    <col min="4" max="4" width="14.5703125" bestFit="1" customWidth="1"/>
    <col min="5" max="5" width="10.42578125" bestFit="1" customWidth="1"/>
    <col min="6" max="6" width="8.28515625" bestFit="1" customWidth="1"/>
    <col min="7" max="7" width="2" bestFit="1" customWidth="1"/>
    <col min="8" max="8" width="13.85546875" bestFit="1" customWidth="1"/>
    <col min="9" max="9" width="2" bestFit="1" customWidth="1"/>
  </cols>
  <sheetData>
    <row r="1" spans="1:11" x14ac:dyDescent="0.25">
      <c r="A1" s="28" t="s">
        <v>18</v>
      </c>
      <c r="B1" s="28"/>
      <c r="C1" s="28"/>
      <c r="D1" s="28"/>
      <c r="E1" s="28"/>
      <c r="F1" s="28"/>
      <c r="G1" s="6">
        <v>3</v>
      </c>
      <c r="H1" s="2" t="s">
        <v>28</v>
      </c>
      <c r="I1" s="6"/>
      <c r="J1" s="29" t="s">
        <v>31</v>
      </c>
      <c r="K1" s="29"/>
    </row>
    <row r="2" spans="1:11" x14ac:dyDescent="0.25">
      <c r="A2" s="2" t="s">
        <v>19</v>
      </c>
      <c r="B2" s="4">
        <v>0</v>
      </c>
      <c r="C2" s="2" t="s">
        <v>20</v>
      </c>
      <c r="D2" s="5">
        <f>B2-(SUM(D4:D20002))</f>
        <v>-5</v>
      </c>
      <c r="E2" s="2" t="s">
        <v>21</v>
      </c>
      <c r="F2" s="2">
        <v>1</v>
      </c>
      <c r="G2" s="6">
        <v>5</v>
      </c>
      <c r="I2" s="6">
        <v>1</v>
      </c>
      <c r="J2" s="29"/>
      <c r="K2" s="29"/>
    </row>
    <row r="3" spans="1:11" x14ac:dyDescent="0.25">
      <c r="A3" s="2" t="s">
        <v>22</v>
      </c>
      <c r="B3" s="2" t="s">
        <v>23</v>
      </c>
      <c r="C3" s="2" t="s">
        <v>24</v>
      </c>
      <c r="D3" s="2" t="s">
        <v>25</v>
      </c>
      <c r="E3" s="2" t="s">
        <v>26</v>
      </c>
      <c r="F3" s="2" t="s">
        <v>27</v>
      </c>
      <c r="I3" s="6">
        <v>0</v>
      </c>
      <c r="J3" s="29"/>
      <c r="K3" s="29"/>
    </row>
    <row r="4" spans="1:11" x14ac:dyDescent="0.25">
      <c r="A4" s="4" t="s">
        <v>107</v>
      </c>
      <c r="B4" s="4">
        <v>1</v>
      </c>
      <c r="C4" s="5">
        <v>10</v>
      </c>
      <c r="D4" s="5">
        <v>5</v>
      </c>
      <c r="E4" s="5">
        <f>((C4-D4))</f>
        <v>5</v>
      </c>
      <c r="F4" t="str">
        <f>IF(E4&gt;0,"Sääst","Ülekulu")</f>
        <v>Sääst</v>
      </c>
      <c r="I4" s="6">
        <v>0</v>
      </c>
      <c r="J4" s="29"/>
      <c r="K4" s="29"/>
    </row>
    <row r="5" spans="1:11" x14ac:dyDescent="0.25">
      <c r="I5" s="6">
        <v>0</v>
      </c>
      <c r="J5" s="29"/>
      <c r="K5" s="29"/>
    </row>
    <row r="6" spans="1:11" x14ac:dyDescent="0.25">
      <c r="I6" s="6">
        <v>0</v>
      </c>
      <c r="J6" s="29"/>
      <c r="K6" s="29"/>
    </row>
    <row r="7" spans="1:11" x14ac:dyDescent="0.25">
      <c r="I7" s="6">
        <v>0</v>
      </c>
      <c r="J7" s="29"/>
      <c r="K7" s="29"/>
    </row>
    <row r="8" spans="1:11" x14ac:dyDescent="0.25">
      <c r="H8" s="2" t="s">
        <v>29</v>
      </c>
      <c r="J8" s="29"/>
      <c r="K8" s="29"/>
    </row>
    <row r="9" spans="1:11" x14ac:dyDescent="0.25">
      <c r="J9" s="29"/>
      <c r="K9" s="29"/>
    </row>
    <row r="10" spans="1:11" x14ac:dyDescent="0.25">
      <c r="J10" s="29"/>
      <c r="K10" s="29"/>
    </row>
    <row r="11" spans="1:11" x14ac:dyDescent="0.25">
      <c r="H11" s="7" t="s">
        <v>30</v>
      </c>
      <c r="J11" s="29"/>
      <c r="K11" s="29"/>
    </row>
  </sheetData>
  <sortState ref="A4:F12">
    <sortCondition ref="A4"/>
  </sortState>
  <mergeCells count="2">
    <mergeCell ref="A1:F1"/>
    <mergeCell ref="J1:K11"/>
  </mergeCells>
  <conditionalFormatting sqref="E4">
    <cfRule type="cellIs" dxfId="9" priority="29" operator="lessThan">
      <formula>0</formula>
    </cfRule>
    <cfRule type="cellIs" dxfId="8" priority="30" operator="greaterThan">
      <formula>0</formula>
    </cfRule>
  </conditionalFormatting>
  <conditionalFormatting sqref="F4">
    <cfRule type="containsText" dxfId="7" priority="27" operator="containsText" text="Ülekulu">
      <formula>NOT(ISERROR(SEARCH("Ülekulu",F4)))</formula>
    </cfRule>
    <cfRule type="containsText" dxfId="6" priority="28" operator="containsText" text="Sääst">
      <formula>NOT(ISERROR(SEARCH("Sääst",F4)))</formula>
    </cfRule>
  </conditionalFormatting>
  <conditionalFormatting sqref="D2">
    <cfRule type="cellIs" dxfId="5" priority="25" operator="lessThan">
      <formula>0</formula>
    </cfRule>
    <cfRule type="cellIs" dxfId="4" priority="26" operator="greaterThan">
      <formula>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utton 25">
              <controlPr defaultSize="0" print="0" autoFill="0" autoPict="0" macro="[0]!sortKULUTUSfrombuttonclick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5" name="Button 26">
              <controlPr defaultSize="0" print="0" autoFill="0" autoPict="0" macro="[0]!sortKULUTUSELIIKfrombuttonclick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6" name="Button 27">
              <controlPr defaultSize="0" print="0" autoFill="0" autoPict="0" macro="[0]!sortPLANEERITUDfrombuttonclick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7" name="Button 28">
              <controlPr defaultSize="0" print="0" autoFill="0" autoPict="0" macro="[0]!sortTEGELIKfrombuttonclick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Button 29">
              <controlPr defaultSize="0" print="0" autoFill="0" autoPict="0" macro="[0]!sortVAHEfrombuttonclick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9" name="Button 30">
              <controlPr defaultSize="0" print="0" autoFill="0" autoPict="0" macro="[0]!sortTAGAJÄRGfrombuttonclick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0" name="Button 31">
              <controlPr defaultSize="0" print="0" autoFill="0" autoPict="0" macro="[0]!makenewlinefrombuttonclick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1" name="Button 32">
              <controlPr defaultSize="0" print="0" autoFill="0" autoPict="0" macro="[0]!removelastlinefrombuttonclick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autoPageBreaks="0"/>
  </sheetPr>
  <dimension ref="A1:M22"/>
  <sheetViews>
    <sheetView zoomScaleNormal="100" zoomScaleSheetLayoutView="70" workbookViewId="0">
      <selection activeCell="A5" sqref="A5:I5"/>
    </sheetView>
  </sheetViews>
  <sheetFormatPr defaultRowHeight="15" x14ac:dyDescent="0.25"/>
  <cols>
    <col min="1" max="1" width="4.28515625" bestFit="1" customWidth="1"/>
    <col min="2" max="2" width="10.140625" bestFit="1" customWidth="1"/>
    <col min="3" max="3" width="37" bestFit="1" customWidth="1"/>
    <col min="4" max="4" width="12.7109375" bestFit="1" customWidth="1"/>
    <col min="5" max="5" width="14.42578125" customWidth="1"/>
    <col min="6" max="6" width="18.5703125" bestFit="1" customWidth="1"/>
    <col min="7" max="7" width="14.42578125" bestFit="1" customWidth="1"/>
    <col min="8" max="8" width="6.5703125" bestFit="1" customWidth="1"/>
    <col min="9" max="9" width="7.85546875" bestFit="1" customWidth="1"/>
    <col min="10" max="10" width="2" bestFit="1" customWidth="1"/>
    <col min="11" max="11" width="18.42578125" bestFit="1" customWidth="1"/>
  </cols>
  <sheetData>
    <row r="1" spans="1:13" x14ac:dyDescent="0.25">
      <c r="A1" s="30" t="s">
        <v>87</v>
      </c>
      <c r="B1" s="30"/>
      <c r="C1" s="30"/>
      <c r="D1" s="30"/>
      <c r="E1" s="30"/>
      <c r="F1" s="30"/>
      <c r="G1" s="30"/>
      <c r="H1" s="30"/>
      <c r="I1" s="30"/>
      <c r="J1" s="15">
        <v>1</v>
      </c>
      <c r="K1" s="30" t="s">
        <v>109</v>
      </c>
      <c r="L1" s="30"/>
      <c r="M1" s="30"/>
    </row>
    <row r="2" spans="1:13" x14ac:dyDescent="0.25">
      <c r="A2" s="31" t="s">
        <v>88</v>
      </c>
      <c r="B2" s="32"/>
      <c r="C2" s="32"/>
      <c r="D2" s="11">
        <v>0</v>
      </c>
      <c r="E2" s="33"/>
      <c r="F2" s="33"/>
      <c r="G2" s="33"/>
      <c r="H2" s="33"/>
      <c r="I2" s="21"/>
      <c r="J2" s="15">
        <v>7</v>
      </c>
      <c r="K2" s="30" t="s">
        <v>28</v>
      </c>
      <c r="L2" s="30"/>
      <c r="M2" s="30"/>
    </row>
    <row r="3" spans="1:13" x14ac:dyDescent="0.25">
      <c r="A3" s="31" t="s">
        <v>89</v>
      </c>
      <c r="B3" s="32"/>
      <c r="C3" s="32"/>
      <c r="D3" s="11">
        <v>0</v>
      </c>
      <c r="E3" s="33"/>
      <c r="F3" s="33"/>
      <c r="G3" s="33"/>
      <c r="H3" s="33"/>
      <c r="I3" s="21"/>
      <c r="J3" s="15"/>
      <c r="K3" t="s">
        <v>108</v>
      </c>
      <c r="L3" s="30" t="s">
        <v>111</v>
      </c>
      <c r="M3" s="25"/>
    </row>
    <row r="4" spans="1:13" x14ac:dyDescent="0.25">
      <c r="A4" s="31" t="s">
        <v>90</v>
      </c>
      <c r="B4" s="32"/>
      <c r="C4" s="32"/>
      <c r="D4" s="11">
        <f>(D3+D2)-(SUM(D6:G20004))</f>
        <v>0</v>
      </c>
      <c r="E4" s="34"/>
      <c r="F4" s="34"/>
      <c r="G4" s="34"/>
      <c r="H4" s="34"/>
      <c r="I4" s="20"/>
      <c r="J4" s="15"/>
      <c r="L4" s="30" t="s">
        <v>111</v>
      </c>
      <c r="M4" s="25"/>
    </row>
    <row r="5" spans="1:13" x14ac:dyDescent="0.25">
      <c r="A5" s="30" t="s">
        <v>98</v>
      </c>
      <c r="B5" s="30"/>
      <c r="C5" s="30"/>
      <c r="D5" s="30"/>
      <c r="E5" s="30"/>
      <c r="F5" s="30"/>
      <c r="G5" s="30"/>
      <c r="H5" s="30"/>
      <c r="I5" s="30"/>
      <c r="J5" s="15"/>
      <c r="L5" s="30" t="s">
        <v>111</v>
      </c>
      <c r="M5" s="25"/>
    </row>
    <row r="6" spans="1:13" x14ac:dyDescent="0.25">
      <c r="A6" s="19" t="s">
        <v>39</v>
      </c>
      <c r="B6" s="19" t="s">
        <v>38</v>
      </c>
      <c r="C6" s="19" t="s">
        <v>91</v>
      </c>
      <c r="D6" s="19" t="s">
        <v>92</v>
      </c>
      <c r="E6" s="19" t="s">
        <v>93</v>
      </c>
      <c r="F6" s="19" t="s">
        <v>94</v>
      </c>
      <c r="G6" s="19" t="s">
        <v>95</v>
      </c>
      <c r="H6" s="19" t="s">
        <v>26</v>
      </c>
      <c r="I6" s="19" t="s">
        <v>96</v>
      </c>
      <c r="J6" s="15"/>
      <c r="L6" s="30" t="s">
        <v>111</v>
      </c>
      <c r="M6" s="25"/>
    </row>
    <row r="7" spans="1:13" x14ac:dyDescent="0.25">
      <c r="A7" s="12">
        <v>1</v>
      </c>
      <c r="B7" s="13">
        <v>44822</v>
      </c>
      <c r="C7" s="4" t="s">
        <v>103</v>
      </c>
      <c r="D7" s="4" t="s">
        <v>106</v>
      </c>
      <c r="E7" s="4" t="s">
        <v>115</v>
      </c>
      <c r="F7" s="5"/>
      <c r="G7" s="5"/>
      <c r="H7" s="5">
        <f>((F7-G7))</f>
        <v>0</v>
      </c>
      <c r="I7" t="str">
        <f>IF(H7&gt;0,"Sääst","Ülekulu")</f>
        <v>Ülekulu</v>
      </c>
      <c r="J7" s="15">
        <v>0</v>
      </c>
      <c r="L7" s="30" t="s">
        <v>111</v>
      </c>
      <c r="M7" s="25"/>
    </row>
    <row r="8" spans="1:13" x14ac:dyDescent="0.25">
      <c r="L8" s="30" t="s">
        <v>111</v>
      </c>
      <c r="M8" s="25"/>
    </row>
    <row r="9" spans="1:13" x14ac:dyDescent="0.25">
      <c r="L9" s="30" t="s">
        <v>111</v>
      </c>
      <c r="M9" s="25"/>
    </row>
    <row r="10" spans="1:13" x14ac:dyDescent="0.25">
      <c r="L10" s="30" t="s">
        <v>111</v>
      </c>
      <c r="M10" s="25"/>
    </row>
    <row r="11" spans="1:13" x14ac:dyDescent="0.25">
      <c r="K11" s="30" t="s">
        <v>110</v>
      </c>
      <c r="L11" s="30"/>
      <c r="M11" s="30"/>
    </row>
    <row r="12" spans="1:13" x14ac:dyDescent="0.25">
      <c r="L12" s="30" t="s">
        <v>112</v>
      </c>
      <c r="M12" s="25"/>
    </row>
    <row r="13" spans="1:13" x14ac:dyDescent="0.25">
      <c r="L13" s="30" t="s">
        <v>112</v>
      </c>
      <c r="M13" s="25"/>
    </row>
    <row r="14" spans="1:13" x14ac:dyDescent="0.25">
      <c r="L14" s="30" t="s">
        <v>112</v>
      </c>
      <c r="M14" s="25"/>
    </row>
    <row r="15" spans="1:13" x14ac:dyDescent="0.25">
      <c r="L15" s="30" t="s">
        <v>112</v>
      </c>
      <c r="M15" s="25"/>
    </row>
    <row r="16" spans="1:13" x14ac:dyDescent="0.25">
      <c r="L16" s="30" t="s">
        <v>112</v>
      </c>
      <c r="M16" s="25"/>
    </row>
    <row r="17" spans="11:13" x14ac:dyDescent="0.25">
      <c r="K17" s="30" t="s">
        <v>113</v>
      </c>
      <c r="L17" s="30"/>
      <c r="M17" s="30"/>
    </row>
    <row r="18" spans="11:13" x14ac:dyDescent="0.25">
      <c r="L18" s="30" t="s">
        <v>112</v>
      </c>
      <c r="M18" s="25"/>
    </row>
    <row r="19" spans="11:13" x14ac:dyDescent="0.25">
      <c r="L19" s="30" t="s">
        <v>112</v>
      </c>
      <c r="M19" s="25"/>
    </row>
    <row r="20" spans="11:13" x14ac:dyDescent="0.25">
      <c r="K20" s="30" t="s">
        <v>114</v>
      </c>
      <c r="L20" s="30"/>
      <c r="M20" s="30"/>
    </row>
    <row r="21" spans="11:13" x14ac:dyDescent="0.25">
      <c r="L21" s="30" t="s">
        <v>112</v>
      </c>
      <c r="M21" s="25"/>
    </row>
    <row r="22" spans="11:13" x14ac:dyDescent="0.25">
      <c r="K22" s="30" t="s">
        <v>112</v>
      </c>
      <c r="L22" s="30"/>
      <c r="M22" s="30"/>
    </row>
  </sheetData>
  <sortState ref="A7:I22">
    <sortCondition ref="A7"/>
  </sortState>
  <mergeCells count="30">
    <mergeCell ref="A5:I5"/>
    <mergeCell ref="A1:I1"/>
    <mergeCell ref="A2:C2"/>
    <mergeCell ref="A3:C3"/>
    <mergeCell ref="A4:C4"/>
    <mergeCell ref="E2:H2"/>
    <mergeCell ref="E3:H3"/>
    <mergeCell ref="E4:H4"/>
    <mergeCell ref="L21:M21"/>
    <mergeCell ref="K22:M22"/>
    <mergeCell ref="L12:M12"/>
    <mergeCell ref="L13:M13"/>
    <mergeCell ref="L14:M14"/>
    <mergeCell ref="L15:M15"/>
    <mergeCell ref="L16:M16"/>
    <mergeCell ref="K17:M17"/>
    <mergeCell ref="K1:M1"/>
    <mergeCell ref="K2:M2"/>
    <mergeCell ref="L18:M18"/>
    <mergeCell ref="L19:M19"/>
    <mergeCell ref="K20:M20"/>
    <mergeCell ref="K11:M11"/>
    <mergeCell ref="L3:M3"/>
    <mergeCell ref="L4:M4"/>
    <mergeCell ref="L5:M5"/>
    <mergeCell ref="L6:M6"/>
    <mergeCell ref="L7:M7"/>
    <mergeCell ref="L8:M8"/>
    <mergeCell ref="L9:M9"/>
    <mergeCell ref="L10:M10"/>
  </mergeCells>
  <conditionalFormatting sqref="H7">
    <cfRule type="cellIs" dxfId="3" priority="4" operator="greaterThan">
      <formula>0</formula>
    </cfRule>
    <cfRule type="cellIs" dxfId="2" priority="3" operator="lessThan">
      <formula>0</formula>
    </cfRule>
  </conditionalFormatting>
  <conditionalFormatting sqref="I7">
    <cfRule type="containsText" dxfId="1" priority="2" operator="containsText" text="Sääst">
      <formula>NOT(ISERROR(SEARCH("Sääst",I7)))</formula>
    </cfRule>
    <cfRule type="containsText" dxfId="0" priority="1" operator="containsText" text="Ülekulu">
      <formula>NOT(ISERROR(SEARCH("Ülekulu",I7)))</formula>
    </cfRule>
  </conditionalFormatting>
  <dataValidations count="2">
    <dataValidation type="list" allowBlank="1" showInputMessage="1" showErrorMessage="1" sqref="D7">
      <formula1>"Sissetulek,Väljaminek"</formula1>
    </dataValidation>
    <dataValidation type="list" allowBlank="1" showInputMessage="1" showErrorMessage="1" sqref="E7">
      <formula1>"Vaba aeg,Söök-jook,Olme,Energia,Planeerimata,Tulevik,Arve,Käest-kätte,Riik"</formula1>
    </dataValidation>
  </dataValidations>
  <pageMargins left="0.25" right="0.25" top="0.75" bottom="0.75" header="0.3" footer="0.3"/>
  <pageSetup paperSize="9" scale="58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7" r:id="rId4" name="Button 823">
              <controlPr defaultSize="0" print="0" autoFill="0" autoPict="0" macro="[0]!sortTEHINGfrombuttonclick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" r:id="rId5" name="Button 824">
              <controlPr defaultSize="0" print="0" autoFill="0" autoPict="0" macro="[0]!sortTEHINGUTÜÜPfrombuttonclick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" r:id="rId6" name="Button 825">
              <controlPr defaultSize="0" print="0" autoFill="0" autoPict="0" macro="[0]!sortTEHINGUKATEGOORIAfrombutton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" r:id="rId7" name="Button 826">
              <controlPr defaultSize="0" print="0" autoFill="0" autoPict="0" macro="[0]!sortPLANEERITUDfrombuttonclick2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" r:id="rId8" name="Button 827">
              <controlPr defaultSize="0" print="0" autoFill="0" autoPict="0" macro="[0]!sortTEGELIKfrombuttonclick2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" r:id="rId9" name="Button 828">
              <controlPr defaultSize="0" print="0" autoFill="0" autoPict="0" macro="[0]!sortVAHEfrombuttonclick2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" r:id="rId10" name="Button 829">
              <controlPr defaultSize="0" print="0" autoFill="0" autoPict="0" macro="[0]!sortTULEMfrombuttonclick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" r:id="rId11" name="Button 830">
              <controlPr defaultSize="0" print="0" autoFill="0" autoPict="0" macro="[0]!sortRESETfrombuttonclick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" r:id="rId12" name="Button 831">
              <controlPr defaultSize="0" print="0" autoFill="0" autoPict="0" macro="[0]!makenewlinefrombuttonclick2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" r:id="rId13" name="Button 832">
              <controlPr defaultSize="0" print="0" autoFill="0" autoPict="0" macro="[0]!removelastlinefrombuttonclick2">
                <anchor moveWithCells="1" siz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" r:id="rId14" name="Button 833">
              <controlPr defaultSize="0" print="0" autoFill="0" autoPict="0" macro="[0]!locklastlinefrombuttonclick">
                <anchor moveWithCells="1" siz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" r:id="rId15" name="Button 834">
              <controlPr defaultSize="0" print="0" autoFill="0" autoPict="0" macro="[0]!unlocklastlinefrombuttonclick">
                <anchor moveWithCells="1" siz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" r:id="rId16" name="Button 835">
              <controlPr defaultSize="0" print="0" autoFill="0" autoPict="0" macro="[0]!KONMES_fna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" r:id="rId17" name="Button 836">
              <controlPr defaultSize="0" print="0" autoFill="0" autoPict="0" macro="[0]!PDFActiveSheet">
                <anchor moveWithCells="1" siz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" r:id="rId18" name="Button 837">
              <controlPr defaultSize="0" print="0" autoFill="0" autoPict="0" macro="[0]!KONMES_fna">
                <anchor moveWithCells="1" siz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" r:id="rId19" name="Button 838">
              <controlPr defaultSize="0" print="0" autoFill="0" autoPict="0" macro="[0]!autoFitter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kujundusenäidis valemitega</vt:lpstr>
      <vt:lpstr>proovi makrot siin</vt:lpstr>
      <vt:lpstr>final product</vt:lpstr>
      <vt:lpstr>v2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KIVIPALLUR-6</dc:creator>
  <cp:lastModifiedBy>KIVIPALLUR-5</cp:lastModifiedBy>
  <cp:lastPrinted>2022-09-18T08:56:12Z</cp:lastPrinted>
  <dcterms:created xsi:type="dcterms:W3CDTF">2022-04-01T07:03:08Z</dcterms:created>
  <dcterms:modified xsi:type="dcterms:W3CDTF">2022-09-18T12:31:31Z</dcterms:modified>
</cp:coreProperties>
</file>